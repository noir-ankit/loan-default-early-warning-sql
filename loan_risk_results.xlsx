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uckets" sheetId="2" state="visible" r:id="rId4"/>
    <sheet name="Points" sheetId="3" state="visible" r:id="rId5"/>
    <sheet name="Failure_Check" sheetId="4" state="visible" r:id="rId6"/>
    <sheet name="Exposure" sheetId="5" state="visible" r:id="rId7"/>
    <sheet name="Findings" sheetId="6" state="visible" r:id="rId8"/>
    <sheet name="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<sst xmlns="http://schemas.openxmlformats.org/spreadsheetml/2006/main" count="123" uniqueCount="100">
  <si>
    <t xml:space="preserve">Loan Default Early-Warning Score: Results Summary</t>
  </si>
  <si>
    <t xml:space="preserve">PostgreSQL project on 20,000 simulated Indian retail loan records. Figures link to the other sheets.</t>
  </si>
  <si>
    <t xml:space="preserve">Risk bucket</t>
  </si>
  <si>
    <t xml:space="preserve">Loans</t>
  </si>
  <si>
    <t xml:space="preserve">Default rate</t>
  </si>
  <si>
    <t xml:space="preserve">Key metric</t>
  </si>
  <si>
    <t xml:space="preserve">Value</t>
  </si>
  <si>
    <t xml:space="preserve">Cleaned loans analysed</t>
  </si>
  <si>
    <t xml:space="preserve">Overall default rate</t>
  </si>
  <si>
    <t xml:space="preserve">High-risk vs Low-risk default rate (multiple)</t>
  </si>
  <si>
    <t xml:space="preserve">High-risk borrowers who did NOT default</t>
  </si>
  <si>
    <t xml:space="preserve">Defaults caught by Medium + High</t>
  </si>
  <si>
    <t xml:space="preserve">Loans flagged Medium + High</t>
  </si>
  <si>
    <t xml:space="preserve">High-risk exposure (INR crore)</t>
  </si>
  <si>
    <t xml:space="preserve">Home Loan share of High-risk exposure</t>
  </si>
  <si>
    <t xml:space="preserve">Top 3 findings</t>
  </si>
  <si>
    <t xml:space="preserve">Resume line</t>
  </si>
  <si>
    <t xml:space="preserve">Data is simulated, not real ICICI data. See the Notes sheet for limitations.</t>
  </si>
  <si>
    <t xml:space="preserve">Risk bucket validation (Part 6 headline result)</t>
  </si>
  <si>
    <t xml:space="preserve">Blue = values copied from your pgAdmin query results. Black = formulas. Green = links to other sheets. Data is simulated, not ICICI data.</t>
  </si>
  <si>
    <t xml:space="preserve">Defaults</t>
  </si>
  <si>
    <t xml:space="preserve">Share of loans</t>
  </si>
  <si>
    <t xml:space="preserve">Share of all defaults</t>
  </si>
  <si>
    <t xml:space="preserve">Low</t>
  </si>
  <si>
    <t xml:space="preserve">Medium</t>
  </si>
  <si>
    <t xml:space="preserve">High</t>
  </si>
  <si>
    <t xml:space="preserve">Total</t>
  </si>
  <si>
    <t xml:space="preserve">High-risk default rate vs Low-risk (multiple)</t>
  </si>
  <si>
    <t xml:space="preserve">Rule: Low = 0-2 points, Medium = 3-5, High = 6+ (from risk_rules table).</t>
  </si>
  <si>
    <t xml:space="preserve">Default rate at each risk-points level</t>
  </si>
  <si>
    <t xml:space="preserve">Risk points</t>
  </si>
  <si>
    <t xml:space="preserve">Check vs Buckets total:</t>
  </si>
  <si>
    <t xml:space="preserve">Note: only 20 loans sit at 11 points, so that end of the curve is not reliable.</t>
  </si>
  <si>
    <t xml:space="preserve">Where the score fails, and the trade-off</t>
  </si>
  <si>
    <t xml:space="preserve">Case</t>
  </si>
  <si>
    <t xml:space="preserve">Percent</t>
  </si>
  <si>
    <t xml:space="preserve">Percent of</t>
  </si>
  <si>
    <t xml:space="preserve">High risk but did NOT default</t>
  </si>
  <si>
    <t xml:space="preserve">the High bucket (false alarms)</t>
  </si>
  <si>
    <t xml:space="preserve">Low risk but DID default</t>
  </si>
  <si>
    <t xml:space="preserve">all defaults (missed by the score)</t>
  </si>
  <si>
    <t xml:space="preserve">Trade-off of flagging Medium + High</t>
  </si>
  <si>
    <t xml:space="preserve">Measure</t>
  </si>
  <si>
    <t xml:space="preserve">Defaults caught by High only</t>
  </si>
  <si>
    <t xml:space="preserve">Share of all loans flagged Medium + High</t>
  </si>
  <si>
    <t xml:space="preserve">Reading: catching more defaults means flagging many more good borrowers. Be ready to explain this trade-off.</t>
  </si>
  <si>
    <t xml:space="preserve">Exposure in High-risk loans (INR crore; 1 crore = 10,000,000)</t>
  </si>
  <si>
    <t xml:space="preserve">Loan type</t>
  </si>
  <si>
    <t xml:space="preserve">High-risk loans</t>
  </si>
  <si>
    <t xml:space="preserve">Exposure (INR crore)</t>
  </si>
  <si>
    <t xml:space="preserve">Share of exposure</t>
  </si>
  <si>
    <t xml:space="preserve">Avg exposure per loan (INR lakh)</t>
  </si>
  <si>
    <t xml:space="preserve">Home Loan</t>
  </si>
  <si>
    <t xml:space="preserve">Personal Loan</t>
  </si>
  <si>
    <t xml:space="preserve">Auto Loan</t>
  </si>
  <si>
    <t xml:space="preserve">Education Loan</t>
  </si>
  <si>
    <t xml:space="preserve">Gold Loan</t>
  </si>
  <si>
    <t xml:space="preserve">Two-Wheeler Loan</t>
  </si>
  <si>
    <t xml:space="preserve">Takeaway: a collections team should prioritise by exposure, not loan count. Personal loans have more flagged loans but far less money than home loans.</t>
  </si>
  <si>
    <t xml:space="preserve">Top findings from exploration (Part 4)</t>
  </si>
  <si>
    <t xml:space="preserve">CIBIL band</t>
  </si>
  <si>
    <t xml:space="preserve">Below 650</t>
  </si>
  <si>
    <t xml:space="preserve">650-699</t>
  </si>
  <si>
    <t xml:space="preserve">No history</t>
  </si>
  <si>
    <t xml:space="preserve">700-749</t>
  </si>
  <si>
    <t xml:space="preserve">750+</t>
  </si>
  <si>
    <t xml:space="preserve">Below 650 vs 750+ (multiple)</t>
  </si>
  <si>
    <t xml:space="preserve">FOIR band</t>
  </si>
  <si>
    <t xml:space="preserve">Above 50%</t>
  </si>
  <si>
    <t xml:space="preserve">40-50%</t>
  </si>
  <si>
    <t xml:space="preserve">Up to 40%</t>
  </si>
  <si>
    <t xml:space="preserve">Above 50% vs up to 40% (multiple)</t>
  </si>
  <si>
    <t xml:space="preserve">Share of loans with FOIR above 50%</t>
  </si>
  <si>
    <t xml:space="preserve">Missed payments in last 12 months</t>
  </si>
  <si>
    <t xml:space="preserve">Missed payments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</si>
  <si>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</si>
  <si>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</si>
  <si>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</si>
  <si>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</si>
  <si>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</si>
  <si>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4 missed vs none (multiple)</t>
  </si>
  <si>
    <t xml:space="preserve">Top 3 findings (strongest first):</t>
  </si>
  <si>
    <t xml:space="preserve">Honest limitations and next steps (for the interview)</t>
  </si>
  <si>
    <t xml:space="preserve">Topic</t>
  </si>
  <si>
    <t xml:space="preserve">Note</t>
  </si>
  <si>
    <t xml:space="preserve">Data</t>
  </si>
  <si>
    <t xml:space="preserve">Simulated dataset modelled on Indian retail lending (CIBIL, FOIR, 90+ DPD). Not ICICI data. Say so upfront.</t>
  </si>
  <si>
    <t xml:space="preserve">Realism</t>
  </si>
  <si>
    <t xml:space="preserve">Overall default rate (~17%) and FOIR above 50% for ~44% of loans are far higher than real portfolios. Exaggerated so patterns are visible.</t>
  </si>
  <si>
    <t xml:space="preserve">Circularity</t>
  </si>
  <si>
    <t xml:space="preserve">Outcomes were generated with built-in logic, so the score working is partly expected. The value is the method: cleaning, rule design, validation.</t>
  </si>
  <si>
    <t xml:space="preserve">False alarms</t>
  </si>
  <si>
    <t xml:space="preserve">About 69% of High-risk borrowers did not default. The score ranks risk but is not sharp.</t>
  </si>
  <si>
    <t xml:space="preserve">Default rate for 'No history' (19.4%) is close to CIBIL 650-699 (20.8%). Rule R2 (2 points) may be slightly high; try 1 point and retest.</t>
  </si>
  <si>
    <t xml:space="preserve">Tuning idea 1</t>
  </si>
  <si>
    <t xml:space="preserve">Raise the FOIR high threshold from 50% to 60% (rule R4) and re-run Part 6.</t>
  </si>
  <si>
    <t xml:space="preserve">Tuning idea 2</t>
  </si>
  <si>
    <t xml:space="preserve">Lower the High cut-off from 6 to 5 points and compare defaults caught vs loans flagged.</t>
  </si>
  <si>
    <t xml:space="preserve">Next steps</t>
  </si>
  <si>
    <t xml:space="preserve">Try logistic regression in Python, test on a separate time period, and use real data if available.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</si>
</sst>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.0\x"/>
    <numFmt numFmtId="168" formatCode="#,##0.00"/>
    <numFmt numFmtId="169" formatCode="0%"/>
    <numFmt numFmtId="170" formatCode="0"/>
    <numFmt numFmtId="171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by risk bucket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Buckets!D3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Buckets!$A$4:$A$6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Buckets!$D$4:$D$6</c:f>
              <c:numCache>
                <c:formatCode>0.0%</c:formatCode>
                <c:ptCount val="3"/>
                <c:pt idx="0">
                  <c:v>0.079615952732644</c:v>
                </c:pt>
                <c:pt idx="1">
                  <c:v>0.192241466626152</c:v>
                </c:pt>
                <c:pt idx="2">
                  <c:v>0.313483492749152</c:v>
                </c:pt>
              </c:numCache>
            </c:numRef>
          </c:val>
        </c:ser>
        <c:gapWidth val="150"/>
        <c:overlap val="0"/>
        <c:axId val="3793793"/>
        <c:axId val="60202458"/>
      </c:barChart>
      <c:catAx>
        <c:axId val="37937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02458"/>
        <c:crosses val="autoZero"/>
        <c:auto val="1"/>
        <c:lblAlgn val="ctr"/>
        <c:lblOffset val="100"/>
        <c:noMultiLvlLbl val="0"/>
      </c:catAx>
      <c:valAx>
        <c:axId val="602024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937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Default rate rises with risk points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Points!C3</c:f>
              <c:strCache>
                <c:ptCount val="1"/>
                <c:pt idx="0">
                  <c:v>Default rate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Points!$A$4:$A$15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cat>
          <c:val>
            <c:numRef>
              <c:f>Points!$C$4:$C$15</c:f>
              <c:numCache>
                <c:formatCode>0.0%</c:formatCode>
                <c:ptCount val="12"/>
                <c:pt idx="0">
                  <c:v>0.034</c:v>
                </c:pt>
                <c:pt idx="1">
                  <c:v>0.066</c:v>
                </c:pt>
                <c:pt idx="2">
                  <c:v>0.112</c:v>
                </c:pt>
                <c:pt idx="3">
                  <c:v>0.148</c:v>
                </c:pt>
                <c:pt idx="4">
                  <c:v>0.205</c:v>
                </c:pt>
                <c:pt idx="5">
                  <c:v>0.243</c:v>
                </c:pt>
                <c:pt idx="6">
                  <c:v>0.274</c:v>
                </c:pt>
                <c:pt idx="7">
                  <c:v>0.323</c:v>
                </c:pt>
                <c:pt idx="8">
                  <c:v>0.366</c:v>
                </c:pt>
                <c:pt idx="9">
                  <c:v>0.416</c:v>
                </c:pt>
                <c:pt idx="10">
                  <c:v>0.455</c:v>
                </c:pt>
                <c:pt idx="11">
                  <c:v>0.5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637566"/>
        <c:axId val="28640030"/>
      </c:lineChart>
      <c:catAx>
        <c:axId val="856375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Risk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40030"/>
        <c:crosses val="autoZero"/>
        <c:auto val="1"/>
        <c:lblAlgn val="ctr"/>
        <c:lblOffset val="100"/>
        <c:noMultiLvlLbl val="0"/>
      </c:catAx>
      <c:valAx>
        <c:axId val="28640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Default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6375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High-risk exposure by loan type (INR crore)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Exposure!C3</c:f>
              <c:strCache>
                <c:ptCount val="1"/>
                <c:pt idx="0">
                  <c:v>Exposure (INR crore)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Exposure!$A$4:$A$9</c:f>
              <c:strCache>
                <c:ptCount val="6"/>
                <c:pt idx="0">
                  <c:v>Home Loan</c:v>
                </c:pt>
                <c:pt idx="1">
                  <c:v>Personal Loan</c:v>
                </c:pt>
                <c:pt idx="2">
                  <c:v>Auto Loan</c:v>
                </c:pt>
                <c:pt idx="3">
                  <c:v>Education Loan</c:v>
                </c:pt>
                <c:pt idx="4">
                  <c:v>Gold Loan</c:v>
                </c:pt>
                <c:pt idx="5">
                  <c:v>Two-Wheeler Loan</c:v>
                </c:pt>
              </c:strCache>
            </c:strRef>
          </c:cat>
          <c:val>
            <c:numRef>
              <c:f>Exposure!$C$4:$C$9</c:f>
              <c:numCache>
                <c:formatCode>#,##0.00</c:formatCode>
                <c:ptCount val="6"/>
                <c:pt idx="0">
                  <c:v>248.18</c:v>
                </c:pt>
                <c:pt idx="1">
                  <c:v>52.66</c:v>
                </c:pt>
                <c:pt idx="2">
                  <c:v>38.93</c:v>
                </c:pt>
                <c:pt idx="3">
                  <c:v>35.27</c:v>
                </c:pt>
                <c:pt idx="4">
                  <c:v>5.69</c:v>
                </c:pt>
                <c:pt idx="5">
                  <c:v>3.19</c:v>
                </c:pt>
              </c:numCache>
            </c:numRef>
          </c:val>
        </c:ser>
        <c:gapWidth val="150"/>
        <c:overlap val="0"/>
        <c:axId val="35283157"/>
        <c:axId val="65045200"/>
      </c:barChart>
      <c:catAx>
        <c:axId val="352831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045200"/>
        <c:crosses val="autoZero"/>
        <c:auto val="1"/>
        <c:lblAlgn val="ctr"/>
        <c:lblOffset val="100"/>
        <c:noMultiLvlLbl val="0"/>
      </c:catAx>
      <c:valAx>
        <c:axId val="65045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831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160560</xdr:rowOff>
    </xdr:from>
    <xdr:to>
      <xdr:col>14</xdr:col>
      <xdr:colOff>399240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7237080" y="380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160560</xdr:rowOff>
    </xdr:from>
    <xdr:to>
      <xdr:col>12</xdr:col>
      <xdr:colOff>147600</xdr:colOff>
      <xdr:row>16</xdr:row>
      <xdr:rowOff>2520</xdr:rowOff>
    </xdr:to>
    <xdr:graphicFrame>
      <xdr:nvGraphicFramePr>
        <xdr:cNvPr id="1" name="Chart 1"/>
        <xdr:cNvGraphicFramePr/>
      </xdr:nvGraphicFramePr>
      <xdr:xfrm>
        <a:off x="4135680" y="3808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14</xdr:col>
      <xdr:colOff>147600</xdr:colOff>
      <xdr:row>16</xdr:row>
      <xdr:rowOff>70200</xdr:rowOff>
    </xdr:to>
    <xdr:graphicFrame>
      <xdr:nvGraphicFramePr>
        <xdr:cNvPr id="2" name="Chart 1"/>
        <xdr:cNvGraphicFramePr/>
      </xdr:nvGraphicFramePr>
      <xdr:xfrm>
        <a:off x="7941960" y="380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tr">
        <f aca="false">Buckets!A4</f>
        <v>Low</v>
      </c>
      <c r="B5" s="5" t="n">
        <f aca="false">Buckets!B4</f>
        <v>6770</v>
      </c>
      <c r="C5" s="6" t="n">
        <f aca="false">Buckets!D4</f>
        <v>0.079615952732644</v>
      </c>
    </row>
    <row r="6" customFormat="false" ht="15" hidden="false" customHeight="false" outlineLevel="0" collapsed="false">
      <c r="A6" s="4" t="str">
        <f aca="false">Buckets!A5</f>
        <v>Medium</v>
      </c>
      <c r="B6" s="5" t="n">
        <f aca="false">Buckets!B5</f>
        <v>9873</v>
      </c>
      <c r="C6" s="6" t="n">
        <f aca="false">Buckets!D5</f>
        <v>0.192241466626152</v>
      </c>
    </row>
    <row r="7" customFormat="false" ht="15" hidden="false" customHeight="false" outlineLevel="0" collapsed="false">
      <c r="A7" s="4" t="str">
        <f aca="false">Buckets!A6</f>
        <v>High</v>
      </c>
      <c r="B7" s="5" t="n">
        <f aca="false">Buckets!B6</f>
        <v>3241</v>
      </c>
      <c r="C7" s="6" t="n">
        <f aca="false">Buckets!D6</f>
        <v>0.313483492749152</v>
      </c>
    </row>
    <row r="9" customFormat="false" ht="15" hidden="false" customHeight="false" outlineLevel="0" collapsed="false">
      <c r="A9" s="3" t="s">
        <v>5</v>
      </c>
      <c r="B9" s="3"/>
      <c r="C9" s="3" t="s">
        <v>6</v>
      </c>
    </row>
    <row r="10" customFormat="false" ht="15" hidden="false" customHeight="false" outlineLevel="0" collapsed="false">
      <c r="A10" s="7" t="s">
        <v>7</v>
      </c>
      <c r="B10" s="7"/>
      <c r="C10" s="5" t="n">
        <f aca="false">Buckets!B7</f>
        <v>19884</v>
      </c>
    </row>
    <row r="11" customFormat="false" ht="15" hidden="false" customHeight="false" outlineLevel="0" collapsed="false">
      <c r="A11" s="7" t="s">
        <v>8</v>
      </c>
      <c r="B11" s="7"/>
      <c r="C11" s="6" t="n">
        <f aca="false">Buckets!D7</f>
        <v>0.173657211828606</v>
      </c>
    </row>
    <row r="12" customFormat="false" ht="15" hidden="false" customHeight="false" outlineLevel="0" collapsed="false">
      <c r="A12" s="7" t="s">
        <v>9</v>
      </c>
      <c r="B12" s="7"/>
      <c r="C12" s="8" t="n">
        <f aca="false">Buckets!D9</f>
        <v>3.93744572525372</v>
      </c>
    </row>
    <row r="13" customFormat="false" ht="15" hidden="false" customHeight="false" outlineLevel="0" collapsed="false">
      <c r="A13" s="7" t="s">
        <v>10</v>
      </c>
      <c r="B13" s="7"/>
      <c r="C13" s="6" t="n">
        <f aca="false">Failure_Check!C4</f>
        <v>0.686516507250849</v>
      </c>
    </row>
    <row r="14" customFormat="false" ht="15" hidden="false" customHeight="false" outlineLevel="0" collapsed="false">
      <c r="A14" s="7" t="s">
        <v>11</v>
      </c>
      <c r="B14" s="7"/>
      <c r="C14" s="6" t="n">
        <f aca="false">Failure_Check!C10</f>
        <v>0.843903851723139</v>
      </c>
    </row>
    <row r="15" customFormat="false" ht="15" hidden="false" customHeight="false" outlineLevel="0" collapsed="false">
      <c r="A15" s="7" t="s">
        <v>12</v>
      </c>
      <c r="B15" s="7"/>
      <c r="C15" s="6" t="n">
        <f aca="false">Failure_Check!C11</f>
        <v>0.65952524642929</v>
      </c>
    </row>
    <row r="16" customFormat="false" ht="15" hidden="false" customHeight="false" outlineLevel="0" collapsed="false">
      <c r="A16" s="7" t="s">
        <v>13</v>
      </c>
      <c r="B16" s="7"/>
      <c r="C16" s="9" t="n">
        <f aca="false">Exposure!C10</f>
        <v>383.92</v>
      </c>
    </row>
    <row r="17" customFormat="false" ht="15" hidden="false" customHeight="false" outlineLevel="0" collapsed="false">
      <c r="A17" s="7" t="s">
        <v>14</v>
      </c>
      <c r="B17" s="7"/>
      <c r="C17" s="6" t="n">
        <f aca="false">Exposure!D4</f>
        <v>0.646436757657845</v>
      </c>
    </row>
    <row r="19" customFormat="false" ht="15" hidden="false" customHeight="false" outlineLevel="0" collapsed="false">
      <c r="A19" s="10" t="s">
        <v>15</v>
      </c>
    </row>
    <row r="20" customFormat="false" ht="15" hidden="false" customHeight="false" outlineLevel="0" collapsed="false">
      <c r="A20" s="11" t="str">
        <f aca="false">Findings!A30</f>
        <v>1. Missed payments: default rate climbs from 14.2% (none) to 33.7% (four), about 2.4x.</v>
      </c>
    </row>
    <row r="21" customFormat="false" ht="15" hidden="false" customHeight="false" outlineLevel="0" collapsed="false">
      <c r="A21" s="11" t="str">
        <f aca="false">Findings!A31</f>
        <v>2. CIBIL: below 650 defaults at 28.5% vs 14.3% for 750+, about 2.0x.</v>
      </c>
    </row>
    <row r="22" customFormat="false" ht="15" hidden="false" customHeight="false" outlineLevel="0" collapsed="false">
      <c r="A22" s="11" t="str">
        <f aca="false">Findings!A32</f>
        <v>3. FOIR: above 50% defaults at 22.0% vs 11.9% for up to 40%, about 1.8x.</v>
      </c>
    </row>
    <row r="24" customFormat="false" ht="15" hidden="false" customHeight="false" outlineLevel="0" collapsed="false">
      <c r="A24" s="10" t="s">
        <v>16</v>
      </c>
    </row>
    <row r="25" customFormat="false" ht="69.75" hidden="false" customHeight="true" outlineLevel="0" collapsed="false">
      <c r="A25" s="12" t="str">
        <f aca="false">"Built a rule-based loan default early-warning score in PostgreSQL on ~"&amp;TEXT(ROUND(Buckets!B7/1000,1),"0.0")&amp;"K simulated Indian retail loan records (CIBIL, FOIR, 90+ DPD); cleaned messy data, designed a points-based risk rules table, and validated that the default rate rose from "&amp;TEXT(Buckets!D4,"0.0%")&amp;" (Low risk) to "&amp;TEXT(Buckets!D6,"0.0%")&amp;" (High risk)."</f>
        <v>Built a rule-based loan default early-warning score in PostgreSQL on ~19.9K simulated Indian retail loan records (CIBIL, FOIR, 90+ DPD); cleaned messy data, designed a points-based risk rules table, and validated that the default rate rose from 8.0% (Low risk) to 31.3% (High risk).</v>
      </c>
      <c r="B25" s="12"/>
      <c r="C25" s="12"/>
    </row>
    <row r="27" customFormat="false" ht="15" hidden="false" customHeight="false" outlineLevel="0" collapsed="false">
      <c r="A27" s="2" t="s">
        <v>17</v>
      </c>
    </row>
  </sheetData>
  <mergeCells count="1">
    <mergeCell ref="A25:C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20</v>
      </c>
      <c r="D3" s="3" t="s">
        <v>4</v>
      </c>
      <c r="E3" s="3" t="s">
        <v>21</v>
      </c>
      <c r="F3" s="3" t="s">
        <v>22</v>
      </c>
    </row>
    <row r="4" customFormat="false" ht="15" hidden="false" customHeight="false" outlineLevel="0" collapsed="false">
      <c r="A4" s="7" t="s">
        <v>23</v>
      </c>
      <c r="B4" s="13" t="n">
        <v>6770</v>
      </c>
      <c r="C4" s="13" t="n">
        <v>539</v>
      </c>
      <c r="D4" s="14" t="n">
        <f aca="false">C4/B4</f>
        <v>0.079615952732644</v>
      </c>
      <c r="E4" s="14" t="n">
        <f aca="false">B4/B$7</f>
        <v>0.34047475357071</v>
      </c>
      <c r="F4" s="14" t="n">
        <f aca="false">C4/C$7</f>
        <v>0.156096148276861</v>
      </c>
    </row>
    <row r="5" customFormat="false" ht="15" hidden="false" customHeight="false" outlineLevel="0" collapsed="false">
      <c r="A5" s="7" t="s">
        <v>24</v>
      </c>
      <c r="B5" s="13" t="n">
        <v>9873</v>
      </c>
      <c r="C5" s="13" t="n">
        <v>1898</v>
      </c>
      <c r="D5" s="14" t="n">
        <f aca="false">C5/B5</f>
        <v>0.192241466626152</v>
      </c>
      <c r="E5" s="14" t="n">
        <f aca="false">B5/B$7</f>
        <v>0.496529873264937</v>
      </c>
      <c r="F5" s="14" t="n">
        <f aca="false">C5/C$7</f>
        <v>0.54966695626991</v>
      </c>
    </row>
    <row r="6" customFormat="false" ht="15" hidden="false" customHeight="false" outlineLevel="0" collapsed="false">
      <c r="A6" s="7" t="s">
        <v>25</v>
      </c>
      <c r="B6" s="13" t="n">
        <v>3241</v>
      </c>
      <c r="C6" s="13" t="n">
        <v>1016</v>
      </c>
      <c r="D6" s="14" t="n">
        <f aca="false">C6/B6</f>
        <v>0.313483492749152</v>
      </c>
      <c r="E6" s="14" t="n">
        <f aca="false">B6/B$7</f>
        <v>0.162995373164353</v>
      </c>
      <c r="F6" s="14" t="n">
        <f aca="false">C6/C$7</f>
        <v>0.294236895453229</v>
      </c>
    </row>
    <row r="7" customFormat="false" ht="15" hidden="false" customHeight="false" outlineLevel="0" collapsed="false">
      <c r="A7" s="15" t="s">
        <v>26</v>
      </c>
      <c r="B7" s="16" t="n">
        <f aca="false">SUM(B4:B6)</f>
        <v>19884</v>
      </c>
      <c r="C7" s="16" t="n">
        <f aca="false">SUM(C4:C6)</f>
        <v>3453</v>
      </c>
      <c r="D7" s="17" t="n">
        <f aca="false">C7/B7</f>
        <v>0.173657211828606</v>
      </c>
      <c r="E7" s="17" t="n">
        <f aca="false">SUM(E4:E6)</f>
        <v>1</v>
      </c>
      <c r="F7" s="17" t="n">
        <f aca="false">SUM(F4:F6)</f>
        <v>1</v>
      </c>
    </row>
    <row r="9" customFormat="false" ht="15" hidden="false" customHeight="false" outlineLevel="0" collapsed="false">
      <c r="A9" s="10" t="s">
        <v>27</v>
      </c>
      <c r="D9" s="18" t="n">
        <f aca="false">D6/D4</f>
        <v>3.93744572525372</v>
      </c>
    </row>
    <row r="10" customFormat="false" ht="15" hidden="false" customHeight="false" outlineLevel="0" collapsed="false">
      <c r="A10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</cols>
  <sheetData>
    <row r="1" customFormat="false" ht="17.35" hidden="false" customHeight="false" outlineLevel="0" collapsed="false">
      <c r="A1" s="1" t="s">
        <v>29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3" t="s">
        <v>30</v>
      </c>
      <c r="B3" s="3" t="s">
        <v>3</v>
      </c>
      <c r="C3" s="3" t="s">
        <v>4</v>
      </c>
    </row>
    <row r="4" customFormat="false" ht="15" hidden="false" customHeight="false" outlineLevel="0" collapsed="false">
      <c r="A4" s="19" t="n">
        <v>0</v>
      </c>
      <c r="B4" s="13" t="n">
        <v>967</v>
      </c>
      <c r="C4" s="20" t="n">
        <v>0.034</v>
      </c>
    </row>
    <row r="5" customFormat="false" ht="15" hidden="false" customHeight="false" outlineLevel="0" collapsed="false">
      <c r="A5" s="19" t="n">
        <v>1</v>
      </c>
      <c r="B5" s="13" t="n">
        <v>3178</v>
      </c>
      <c r="C5" s="20" t="n">
        <v>0.066</v>
      </c>
    </row>
    <row r="6" customFormat="false" ht="15" hidden="false" customHeight="false" outlineLevel="0" collapsed="false">
      <c r="A6" s="19" t="n">
        <v>2</v>
      </c>
      <c r="B6" s="13" t="n">
        <v>2625</v>
      </c>
      <c r="C6" s="20" t="n">
        <v>0.112</v>
      </c>
    </row>
    <row r="7" customFormat="false" ht="15" hidden="false" customHeight="false" outlineLevel="0" collapsed="false">
      <c r="A7" s="19" t="n">
        <v>3</v>
      </c>
      <c r="B7" s="13" t="n">
        <v>3613</v>
      </c>
      <c r="C7" s="20" t="n">
        <v>0.148</v>
      </c>
    </row>
    <row r="8" customFormat="false" ht="15" hidden="false" customHeight="false" outlineLevel="0" collapsed="false">
      <c r="A8" s="19" t="n">
        <v>4</v>
      </c>
      <c r="B8" s="13" t="n">
        <v>4039</v>
      </c>
      <c r="C8" s="20" t="n">
        <v>0.205</v>
      </c>
    </row>
    <row r="9" customFormat="false" ht="15" hidden="false" customHeight="false" outlineLevel="0" collapsed="false">
      <c r="A9" s="19" t="n">
        <v>5</v>
      </c>
      <c r="B9" s="13" t="n">
        <v>2221</v>
      </c>
      <c r="C9" s="20" t="n">
        <v>0.243</v>
      </c>
    </row>
    <row r="10" customFormat="false" ht="15" hidden="false" customHeight="false" outlineLevel="0" collapsed="false">
      <c r="A10" s="19" t="n">
        <v>6</v>
      </c>
      <c r="B10" s="13" t="n">
        <v>1503</v>
      </c>
      <c r="C10" s="20" t="n">
        <v>0.274</v>
      </c>
    </row>
    <row r="11" customFormat="false" ht="15" hidden="false" customHeight="false" outlineLevel="0" collapsed="false">
      <c r="A11" s="19" t="n">
        <v>7</v>
      </c>
      <c r="B11" s="13" t="n">
        <v>1100</v>
      </c>
      <c r="C11" s="20" t="n">
        <v>0.323</v>
      </c>
    </row>
    <row r="12" customFormat="false" ht="15" hidden="false" customHeight="false" outlineLevel="0" collapsed="false">
      <c r="A12" s="19" t="n">
        <v>8</v>
      </c>
      <c r="B12" s="13" t="n">
        <v>415</v>
      </c>
      <c r="C12" s="20" t="n">
        <v>0.366</v>
      </c>
    </row>
    <row r="13" customFormat="false" ht="15" hidden="false" customHeight="false" outlineLevel="0" collapsed="false">
      <c r="A13" s="19" t="n">
        <v>9</v>
      </c>
      <c r="B13" s="13" t="n">
        <v>137</v>
      </c>
      <c r="C13" s="20" t="n">
        <v>0.416</v>
      </c>
    </row>
    <row r="14" customFormat="false" ht="15" hidden="false" customHeight="false" outlineLevel="0" collapsed="false">
      <c r="A14" s="19" t="n">
        <v>10</v>
      </c>
      <c r="B14" s="13" t="n">
        <v>66</v>
      </c>
      <c r="C14" s="20" t="n">
        <v>0.455</v>
      </c>
    </row>
    <row r="15" customFormat="false" ht="15" hidden="false" customHeight="false" outlineLevel="0" collapsed="false">
      <c r="A15" s="19" t="n">
        <v>11</v>
      </c>
      <c r="B15" s="13" t="n">
        <v>20</v>
      </c>
      <c r="C15" s="20" t="n">
        <v>0.5</v>
      </c>
    </row>
    <row r="16" customFormat="false" ht="15" hidden="false" customHeight="false" outlineLevel="0" collapsed="false">
      <c r="A16" s="15" t="s">
        <v>26</v>
      </c>
      <c r="B16" s="16" t="n">
        <f aca="false">SUM(B4:B15)</f>
        <v>19884</v>
      </c>
      <c r="C16" s="21"/>
    </row>
    <row r="18" customFormat="false" ht="15" hidden="false" customHeight="false" outlineLevel="0" collapsed="false">
      <c r="A18" s="10" t="s">
        <v>31</v>
      </c>
      <c r="B18" s="11" t="str">
        <f aca="false">IF(B16=Buckets!B7,"OK - matches","MISMATCH")</f>
        <v>OK - matches</v>
      </c>
    </row>
    <row r="19" customFormat="false" ht="15" hidden="false" customHeight="false" outlineLevel="0" collapsed="false">
      <c r="A19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2"/>
    <col collapsed="false" customWidth="true" hidden="false" outlineLevel="0" max="4" min="4" style="0" width="36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3" t="s">
        <v>34</v>
      </c>
      <c r="B3" s="3" t="s">
        <v>3</v>
      </c>
      <c r="C3" s="3" t="s">
        <v>35</v>
      </c>
      <c r="D3" s="3" t="s">
        <v>36</v>
      </c>
    </row>
    <row r="4" customFormat="false" ht="15" hidden="false" customHeight="false" outlineLevel="0" collapsed="false">
      <c r="A4" s="7" t="s">
        <v>37</v>
      </c>
      <c r="B4" s="5" t="n">
        <f aca="false">Buckets!B6-Buckets!C6</f>
        <v>2225</v>
      </c>
      <c r="C4" s="6" t="n">
        <f aca="false">B4/Buckets!B6</f>
        <v>0.686516507250849</v>
      </c>
      <c r="D4" s="7" t="s">
        <v>38</v>
      </c>
    </row>
    <row r="5" customFormat="false" ht="15" hidden="false" customHeight="false" outlineLevel="0" collapsed="false">
      <c r="A5" s="7" t="s">
        <v>39</v>
      </c>
      <c r="B5" s="5" t="n">
        <f aca="false">Buckets!C4</f>
        <v>539</v>
      </c>
      <c r="C5" s="6" t="n">
        <f aca="false">B5/Buckets!C7</f>
        <v>0.156096148276861</v>
      </c>
      <c r="D5" s="7" t="s">
        <v>40</v>
      </c>
    </row>
    <row r="7" customFormat="false" ht="15" hidden="false" customHeight="false" outlineLevel="0" collapsed="false">
      <c r="A7" s="10" t="s">
        <v>41</v>
      </c>
    </row>
    <row r="8" customFormat="false" ht="15" hidden="false" customHeight="false" outlineLevel="0" collapsed="false">
      <c r="A8" s="3" t="s">
        <v>42</v>
      </c>
      <c r="B8" s="3"/>
      <c r="C8" s="3" t="s">
        <v>6</v>
      </c>
      <c r="D8" s="3"/>
    </row>
    <row r="9" customFormat="false" ht="15" hidden="false" customHeight="false" outlineLevel="0" collapsed="false">
      <c r="A9" s="7" t="s">
        <v>43</v>
      </c>
      <c r="C9" s="6" t="n">
        <f aca="false">Buckets!F6</f>
        <v>0.294236895453229</v>
      </c>
    </row>
    <row r="10" customFormat="false" ht="15" hidden="false" customHeight="false" outlineLevel="0" collapsed="false">
      <c r="A10" s="7" t="s">
        <v>11</v>
      </c>
      <c r="C10" s="6" t="n">
        <f aca="false">(Buckets!C5+Buckets!C6)/Buckets!C7</f>
        <v>0.843903851723139</v>
      </c>
    </row>
    <row r="11" customFormat="false" ht="15" hidden="false" customHeight="false" outlineLevel="0" collapsed="false">
      <c r="A11" s="7" t="s">
        <v>44</v>
      </c>
      <c r="C11" s="6" t="n">
        <f aca="false">(Buckets!B5+Buckets!B6)/Buckets!B7</f>
        <v>0.65952524642929</v>
      </c>
    </row>
    <row r="13" customFormat="false" ht="15" hidden="false" customHeight="false" outlineLevel="0" collapsed="false">
      <c r="A13" s="2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19</v>
      </c>
    </row>
    <row r="3" customFormat="false" ht="23.85" hidden="false" customHeight="false" outlineLevel="0" collapsed="false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</row>
    <row r="4" customFormat="false" ht="15" hidden="false" customHeight="false" outlineLevel="0" collapsed="false">
      <c r="A4" s="7" t="s">
        <v>52</v>
      </c>
      <c r="B4" s="13" t="n">
        <v>840</v>
      </c>
      <c r="C4" s="22" t="n">
        <v>248.18</v>
      </c>
      <c r="D4" s="14" t="n">
        <f aca="false">C4/C$10</f>
        <v>0.646436757657845</v>
      </c>
      <c r="E4" s="23" t="n">
        <f aca="false">C4*100/B4</f>
        <v>29.5452380952381</v>
      </c>
    </row>
    <row r="5" customFormat="false" ht="15" hidden="false" customHeight="false" outlineLevel="0" collapsed="false">
      <c r="A5" s="7" t="s">
        <v>53</v>
      </c>
      <c r="B5" s="13" t="n">
        <v>1193</v>
      </c>
      <c r="C5" s="22" t="n">
        <v>52.66</v>
      </c>
      <c r="D5" s="14" t="n">
        <f aca="false">C5/C$10</f>
        <v>0.137163992498437</v>
      </c>
      <c r="E5" s="23" t="n">
        <f aca="false">C5*100/B5</f>
        <v>4.4140821458508</v>
      </c>
    </row>
    <row r="6" customFormat="false" ht="15" hidden="false" customHeight="false" outlineLevel="0" collapsed="false">
      <c r="A6" s="7" t="s">
        <v>54</v>
      </c>
      <c r="B6" s="13" t="n">
        <v>458</v>
      </c>
      <c r="C6" s="22" t="n">
        <v>38.93</v>
      </c>
      <c r="D6" s="14" t="n">
        <f aca="false">C6/C$10</f>
        <v>0.101401333611169</v>
      </c>
      <c r="E6" s="23" t="n">
        <f aca="false">C6*100/B6</f>
        <v>8.5</v>
      </c>
    </row>
    <row r="7" customFormat="false" ht="15" hidden="false" customHeight="false" outlineLevel="0" collapsed="false">
      <c r="A7" s="7" t="s">
        <v>55</v>
      </c>
      <c r="B7" s="13" t="n">
        <v>269</v>
      </c>
      <c r="C7" s="22" t="n">
        <v>35.27</v>
      </c>
      <c r="D7" s="14" t="n">
        <f aca="false">C7/C$10</f>
        <v>0.0918680975203167</v>
      </c>
      <c r="E7" s="23" t="n">
        <f aca="false">C7*100/B7</f>
        <v>13.1115241635688</v>
      </c>
    </row>
    <row r="8" customFormat="false" ht="15" hidden="false" customHeight="false" outlineLevel="0" collapsed="false">
      <c r="A8" s="7" t="s">
        <v>56</v>
      </c>
      <c r="B8" s="13" t="n">
        <v>256</v>
      </c>
      <c r="C8" s="22" t="n">
        <v>5.69</v>
      </c>
      <c r="D8" s="14" t="n">
        <f aca="false">C8/C$10</f>
        <v>0.0148207959991665</v>
      </c>
      <c r="E8" s="23" t="n">
        <f aca="false">C8*100/B8</f>
        <v>2.22265625</v>
      </c>
    </row>
    <row r="9" customFormat="false" ht="15" hidden="false" customHeight="false" outlineLevel="0" collapsed="false">
      <c r="A9" s="7" t="s">
        <v>57</v>
      </c>
      <c r="B9" s="13" t="n">
        <v>225</v>
      </c>
      <c r="C9" s="22" t="n">
        <v>3.19</v>
      </c>
      <c r="D9" s="14" t="n">
        <f aca="false">C9/C$10</f>
        <v>0.00830902271306522</v>
      </c>
      <c r="E9" s="23" t="n">
        <f aca="false">C9*100/B9</f>
        <v>1.41777777777778</v>
      </c>
    </row>
    <row r="10" customFormat="false" ht="15" hidden="false" customHeight="false" outlineLevel="0" collapsed="false">
      <c r="A10" s="15" t="s">
        <v>26</v>
      </c>
      <c r="B10" s="16" t="n">
        <f aca="false">SUM(B4:B9)</f>
        <v>3241</v>
      </c>
      <c r="C10" s="24" t="n">
        <f aca="false">SUM(C4:C9)</f>
        <v>383.92</v>
      </c>
      <c r="D10" s="17" t="n">
        <f aca="false">SUM(D4:D9)</f>
        <v>1</v>
      </c>
      <c r="E10" s="25" t="n">
        <f aca="false">C10*100/B10</f>
        <v>11.8457266275841</v>
      </c>
    </row>
    <row r="12" customFormat="false" ht="15" hidden="false" customHeight="false" outlineLevel="0" collapsed="false">
      <c r="A12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19</v>
      </c>
    </row>
    <row r="3" customFormat="false" ht="15" hidden="false" customHeight="false" outlineLevel="0" collapsed="false">
      <c r="A3" s="10" t="s">
        <v>60</v>
      </c>
    </row>
    <row r="4" customFormat="false" ht="15" hidden="false" customHeight="false" outlineLevel="0" collapsed="false">
      <c r="A4" s="3" t="s">
        <v>60</v>
      </c>
      <c r="B4" s="3" t="s">
        <v>3</v>
      </c>
      <c r="C4" s="3" t="s">
        <v>4</v>
      </c>
    </row>
    <row r="5" customFormat="false" ht="15" hidden="false" customHeight="false" outlineLevel="0" collapsed="false">
      <c r="A5" s="26" t="s">
        <v>61</v>
      </c>
      <c r="B5" s="13" t="n">
        <v>2613</v>
      </c>
      <c r="C5" s="20" t="n">
        <v>0.285</v>
      </c>
    </row>
    <row r="6" customFormat="false" ht="15" hidden="false" customHeight="false" outlineLevel="0" collapsed="false">
      <c r="A6" s="26" t="s">
        <v>62</v>
      </c>
      <c r="B6" s="13" t="n">
        <v>2053</v>
      </c>
      <c r="C6" s="20" t="n">
        <v>0.208</v>
      </c>
    </row>
    <row r="7" customFormat="false" ht="15" hidden="false" customHeight="false" outlineLevel="0" collapsed="false">
      <c r="A7" s="26" t="s">
        <v>63</v>
      </c>
      <c r="B7" s="13" t="n">
        <v>968</v>
      </c>
      <c r="C7" s="20" t="n">
        <v>0.194</v>
      </c>
    </row>
    <row r="8" customFormat="false" ht="15" hidden="false" customHeight="false" outlineLevel="0" collapsed="false">
      <c r="A8" s="26" t="s">
        <v>64</v>
      </c>
      <c r="B8" s="13" t="n">
        <v>2684</v>
      </c>
      <c r="C8" s="20" t="n">
        <v>0.164</v>
      </c>
    </row>
    <row r="9" customFormat="false" ht="15" hidden="false" customHeight="false" outlineLevel="0" collapsed="false">
      <c r="A9" s="26" t="s">
        <v>65</v>
      </c>
      <c r="B9" s="13" t="n">
        <v>11566</v>
      </c>
      <c r="C9" s="20" t="n">
        <v>0.143</v>
      </c>
    </row>
    <row r="10" customFormat="false" ht="15" hidden="false" customHeight="false" outlineLevel="0" collapsed="false">
      <c r="A10" s="10" t="s">
        <v>66</v>
      </c>
      <c r="C10" s="18" t="n">
        <f aca="false">C5/C9</f>
        <v>1.99300699300699</v>
      </c>
    </row>
    <row r="12" customFormat="false" ht="15" hidden="false" customHeight="false" outlineLevel="0" collapsed="false">
      <c r="A12" s="10" t="s">
        <v>67</v>
      </c>
    </row>
    <row r="13" customFormat="false" ht="15" hidden="false" customHeight="false" outlineLevel="0" collapsed="false">
      <c r="A13" s="3" t="s">
        <v>67</v>
      </c>
      <c r="B13" s="3" t="s">
        <v>3</v>
      </c>
      <c r="C13" s="3" t="s">
        <v>4</v>
      </c>
    </row>
    <row r="14" customFormat="false" ht="15" hidden="false" customHeight="false" outlineLevel="0" collapsed="false">
      <c r="A14" s="26" t="s">
        <v>68</v>
      </c>
      <c r="B14" s="13" t="n">
        <v>8746</v>
      </c>
      <c r="C14" s="20" t="n">
        <v>0.22</v>
      </c>
    </row>
    <row r="15" customFormat="false" ht="15" hidden="false" customHeight="false" outlineLevel="0" collapsed="false">
      <c r="A15" s="26" t="s">
        <v>69</v>
      </c>
      <c r="B15" s="13" t="n">
        <v>3346</v>
      </c>
      <c r="C15" s="20" t="n">
        <v>0.18</v>
      </c>
    </row>
    <row r="16" customFormat="false" ht="15" hidden="false" customHeight="false" outlineLevel="0" collapsed="false">
      <c r="A16" s="26" t="s">
        <v>70</v>
      </c>
      <c r="B16" s="13" t="n">
        <v>7792</v>
      </c>
      <c r="C16" s="20" t="n">
        <v>0.119</v>
      </c>
    </row>
    <row r="17" customFormat="false" ht="15" hidden="false" customHeight="false" outlineLevel="0" collapsed="false">
      <c r="A17" s="10" t="s">
        <v>71</v>
      </c>
      <c r="C17" s="18" t="n">
        <f aca="false">C14/C16</f>
        <v>1.84873949579832</v>
      </c>
    </row>
    <row r="18" customFormat="false" ht="15" hidden="false" customHeight="false" outlineLevel="0" collapsed="false">
      <c r="A18" s="10" t="s">
        <v>72</v>
      </c>
      <c r="C18" s="27" t="n">
        <f aca="false">B14/SUM(B14:B16)</f>
        <v>0.439851136592235</v>
      </c>
    </row>
    <row r="20" customFormat="false" ht="15" hidden="false" customHeight="false" outlineLevel="0" collapsed="false">
      <c r="A20" s="10" t="s">
        <v>73</v>
      </c>
    </row>
    <row r="21" customFormat="false" ht="15" hidden="false" customHeight="false" outlineLevel="0" collapsed="false">
      <c r="A21" s="3" t="s">
        <v>74</v>
      </c>
      <c r="B21" s="3" t="s">
        <v>3</v>
      </c>
      <c r="C21" s="3" t="s">
        <v>4</v>
      </c>
    </row>
    <row r="22" customFormat="false" ht="15" hidden="false" customHeight="false" outlineLevel="0" collapsed="false">
      <c r="A22" s="26" t="s">
        <v>75</v>
      </c>
      <c r="B22" s="13" t="n">
        <v>13861</v>
      </c>
      <c r="C22" s="20" t="n">
        <v>0.142</v>
      </c>
    </row>
    <row r="23" customFormat="false" ht="15" hidden="false" customHeight="false" outlineLevel="0" collapsed="false">
      <c r="A23" s="26" t="s">
        <v>76</v>
      </c>
      <c r="B23" s="13" t="n">
        <v>2985</v>
      </c>
      <c r="C23" s="20" t="n">
        <v>0.205</v>
      </c>
    </row>
    <row r="24" customFormat="false" ht="15" hidden="false" customHeight="false" outlineLevel="0" collapsed="false">
      <c r="A24" s="26" t="s">
        <v>77</v>
      </c>
      <c r="B24" s="13" t="n">
        <v>1641</v>
      </c>
      <c r="C24" s="20" t="n">
        <v>0.254</v>
      </c>
    </row>
    <row r="25" customFormat="false" ht="15" hidden="false" customHeight="false" outlineLevel="0" collapsed="false">
      <c r="A25" s="26" t="s">
        <v>78</v>
      </c>
      <c r="B25" s="13" t="n">
        <v>800</v>
      </c>
      <c r="C25" s="20" t="n">
        <v>0.318</v>
      </c>
    </row>
    <row r="26" customFormat="false" ht="15" hidden="false" customHeight="false" outlineLevel="0" collapsed="false">
      <c r="A26" s="26" t="s">
        <v>79</v>
      </c>
      <c r="B26" s="13" t="n">
        <v>597</v>
      </c>
      <c r="C26" s="20" t="n">
        <v>0.337</v>
      </c>
    </row>
    <row r="27" customFormat="false" ht="15" hidden="false" customHeight="false" outlineLevel="0" collapsed="false">
      <c r="A27" s="10" t="s">
        <v>80</v>
      </c>
      <c r="C27" s="18" t="n">
        <f aca="false">C26/C22</f>
        <v>2.37323943661972</v>
      </c>
    </row>
    <row r="29" customFormat="false" ht="15" hidden="false" customHeight="false" outlineLevel="0" collapsed="false">
      <c r="A29" s="10" t="s">
        <v>81</v>
      </c>
    </row>
    <row r="30" customFormat="false" ht="15" hidden="false" customHeight="false" outlineLevel="0" collapsed="false">
      <c r="A30" s="28" t="str">
        <f aca="false">"1. Missed payments: default rate climbs from "&amp;TEXT(C22,"0.0%")&amp;" (none) to "&amp;TEXT(C26,"0.0%")&amp;" (four), about "&amp;TEXT(C27,"0.0")&amp;"x."</f>
        <v>1. Missed payments: default rate climbs from 14.2% (none) to 33.7% (four), about 2.4x.</v>
      </c>
    </row>
    <row r="31" customFormat="false" ht="15" hidden="false" customHeight="false" outlineLevel="0" collapsed="false">
      <c r="A31" s="28" t="str">
        <f aca="false">"2. CIBIL: below 650 defaults at "&amp;TEXT(C5,"0.0%")&amp;" vs "&amp;TEXT(C9,"0.0%")&amp;" for 750+, about "&amp;TEXT(C10,"0.0")&amp;"x."</f>
        <v>2. CIBIL: below 650 defaults at 28.5% vs 14.3% for 750+, about 2.0x.</v>
      </c>
    </row>
    <row r="32" customFormat="false" ht="15" hidden="false" customHeight="false" outlineLevel="0" collapsed="false">
      <c r="A32" s="28" t="str">
        <f aca="false">"3. FOIR: above 50% defaults at "&amp;TEXT(C14,"0.0%")&amp;" vs "&amp;TEXT(C16,"0.0%")&amp;" for up to 40%, about "&amp;TEXT(C17,"0.0")&amp;"x."</f>
        <v>3. FOIR: above 50% defaults at 22.0% vs 11.9% for up to 40%, about 1.8x.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82</v>
      </c>
    </row>
    <row r="3" customFormat="false" ht="15" hidden="false" customHeight="false" outlineLevel="0" collapsed="false">
      <c r="A3" s="3" t="s">
        <v>83</v>
      </c>
      <c r="B3" s="3" t="s">
        <v>84</v>
      </c>
    </row>
    <row r="4" customFormat="false" ht="42" hidden="false" customHeight="true" outlineLevel="0" collapsed="false">
      <c r="A4" s="29" t="s">
        <v>85</v>
      </c>
      <c r="B4" s="30" t="s">
        <v>86</v>
      </c>
    </row>
    <row r="5" customFormat="false" ht="42" hidden="false" customHeight="true" outlineLevel="0" collapsed="false">
      <c r="A5" s="29" t="s">
        <v>87</v>
      </c>
      <c r="B5" s="30" t="s">
        <v>88</v>
      </c>
    </row>
    <row r="6" customFormat="false" ht="42" hidden="false" customHeight="true" outlineLevel="0" collapsed="false">
      <c r="A6" s="29" t="s">
        <v>89</v>
      </c>
      <c r="B6" s="30" t="s">
        <v>90</v>
      </c>
    </row>
    <row r="7" customFormat="false" ht="42" hidden="false" customHeight="true" outlineLevel="0" collapsed="false">
      <c r="A7" s="29" t="s">
        <v>91</v>
      </c>
      <c r="B7" s="30" t="s">
        <v>92</v>
      </c>
    </row>
    <row r="8" customFormat="false" ht="42" hidden="false" customHeight="true" outlineLevel="0" collapsed="false">
      <c r="A8" s="29" t="s">
        <v>63</v>
      </c>
      <c r="B8" s="30" t="s">
        <v>93</v>
      </c>
    </row>
    <row r="9" customFormat="false" ht="42" hidden="false" customHeight="true" outlineLevel="0" collapsed="false">
      <c r="A9" s="29" t="s">
        <v>94</v>
      </c>
      <c r="B9" s="30" t="s">
        <v>95</v>
      </c>
    </row>
    <row r="10" customFormat="false" ht="42" hidden="false" customHeight="true" outlineLevel="0" collapsed="false">
      <c r="A10" s="29" t="s">
        <v>96</v>
      </c>
      <c r="B10" s="30" t="s">
        <v>97</v>
      </c>
    </row>
    <row r="11" customFormat="false" ht="42" hidden="false" customHeight="true" outlineLevel="0" collapsed="false">
      <c r="A11" s="29" t="s">
        <v>98</v>
      </c>
      <c r="B11" s="3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2026-10-04T05:57:12Z</dcterms:created>
  <dc:creator>openpyxl</dc:creator>
  <dc:description/>
  <dc:language>en-US</dc:language>
  <cp:lastModifiedBy/>
  <dcterms:modified xsi:type="dcterms:W3CDTF">2026-10-04T05:57:14Z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